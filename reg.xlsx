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Khangeldyan\CASEKEY\OIKOS8\CASE2\"/>
    </mc:Choice>
  </mc:AlternateContent>
  <xr:revisionPtr revIDLastSave="0" documentId="13_ncr:1_{F1A4DBFD-A065-48E1-BFA3-97BCE59D0D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1" l="1"/>
  <c r="B42" i="1"/>
  <c r="B28" i="1"/>
  <c r="B43" i="1"/>
  <c r="B46" i="1"/>
  <c r="C42" i="1"/>
  <c r="C45" i="1"/>
  <c r="C44" i="1" s="1"/>
  <c r="C43" i="1" s="1"/>
  <c r="C46" i="1"/>
  <c r="B50" i="1"/>
  <c r="E46" i="1"/>
  <c r="F46" i="1" s="1"/>
  <c r="B49" i="1"/>
  <c r="B48" i="1"/>
  <c r="B47" i="1"/>
  <c r="C30" i="1"/>
  <c r="C29" i="1" s="1"/>
  <c r="B31" i="1"/>
  <c r="B32" i="1"/>
  <c r="B33" i="1"/>
  <c r="B34" i="1"/>
  <c r="B19" i="1" a="1"/>
  <c r="B19" i="1" s="1"/>
  <c r="B25" i="1"/>
  <c r="E19" i="1" a="1"/>
  <c r="E19" i="1" s="1"/>
  <c r="G13" i="1"/>
  <c r="D13" i="1"/>
  <c r="K19" i="1"/>
  <c r="K15" i="1"/>
  <c r="G14" i="1" s="1"/>
  <c r="E14" i="1" s="1"/>
  <c r="D14" i="1" s="1"/>
  <c r="C33" i="1" s="1"/>
  <c r="C28" i="1" l="1"/>
  <c r="B29" i="1"/>
  <c r="B30" i="1"/>
  <c r="G15" i="1"/>
  <c r="E15" i="1" s="1"/>
  <c r="D15" i="1" s="1"/>
  <c r="C34" i="1" s="1"/>
  <c r="E13" i="1"/>
  <c r="C32" i="1" s="1"/>
  <c r="G12" i="1"/>
  <c r="E12" i="1" s="1"/>
  <c r="D12" i="1"/>
  <c r="B45" i="1" l="1"/>
  <c r="E45" i="1" s="1"/>
  <c r="F45" i="1" s="1"/>
  <c r="C25" i="1"/>
  <c r="C31" i="1"/>
  <c r="B44" i="1" l="1"/>
  <c r="E44" i="1" s="1"/>
  <c r="F44" i="1" s="1"/>
  <c r="H31" i="1"/>
  <c r="I31" i="1" s="1"/>
  <c r="H32" i="1"/>
  <c r="I32" i="1" s="1"/>
  <c r="H33" i="1"/>
  <c r="I33" i="1" s="1"/>
  <c r="H34" i="1"/>
  <c r="I34" i="1" s="1"/>
  <c r="E43" i="1" l="1"/>
  <c r="F43" i="1" s="1"/>
  <c r="E30" i="1"/>
  <c r="F30" i="1" s="1"/>
  <c r="I36" i="1" a="1"/>
  <c r="I36" i="1" s="1"/>
  <c r="E42" i="1" l="1"/>
  <c r="F42" i="1" s="1"/>
  <c r="E29" i="1"/>
  <c r="F29" i="1" s="1"/>
  <c r="E28" i="1" l="1"/>
  <c r="F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<sst xmlns="http://schemas.openxmlformats.org/spreadsheetml/2006/main" count="34" uniqueCount="26">
  <si>
    <t>EBIDTA</t>
  </si>
  <si>
    <r>
      <t>High-End Serums:</t>
    </r>
    <r>
      <rPr>
        <sz val="10"/>
        <color theme="1"/>
        <rFont val="Arial"/>
        <family val="2"/>
      </rPr>
      <t xml:space="preserve"> $49.00 (e.g., Eyelash, Brow, and Hair serums)</t>
    </r>
  </si>
  <si>
    <r>
      <t>Mid-Range Treatments:</t>
    </r>
    <r>
      <rPr>
        <sz val="10"/>
        <color theme="1"/>
        <rFont val="Arial"/>
        <family val="2"/>
      </rPr>
      <t xml:space="preserve"> $22.00 – $39.00 (e.g., Eyelash Conditioners, Face Serums, and Shampoos)</t>
    </r>
  </si>
  <si>
    <r>
      <t>Budget Cosmetics:</t>
    </r>
    <r>
      <rPr>
        <sz val="10"/>
        <color theme="1"/>
        <rFont val="Arial"/>
        <family val="2"/>
      </rPr>
      <t xml:space="preserve"> $15.00 (e.g., Mascaras, Brow Fillers, and Lip Masks)</t>
    </r>
  </si>
  <si>
    <t>avP</t>
  </si>
  <si>
    <t>operRev</t>
  </si>
  <si>
    <t>avPwith inf</t>
  </si>
  <si>
    <t>Oprev/avPwi</t>
  </si>
  <si>
    <r>
      <t xml:space="preserve">In the e-commerce, beauty, and cosmetics industry, the average customer purchases from a brand </t>
    </r>
    <r>
      <rPr>
        <sz val="10"/>
        <color theme="1"/>
        <rFont val="Arial"/>
        <family val="2"/>
      </rPr>
      <t>between 2.5 and 2.8 times per year</t>
    </r>
    <r>
      <rPr>
        <sz val="11"/>
        <color theme="1"/>
        <rFont val="Calibri"/>
        <family val="2"/>
        <scheme val="minor"/>
      </rPr>
      <t xml:space="preserve">. If the customer joins a brand's </t>
    </r>
    <r>
      <rPr>
        <sz val="10"/>
        <color theme="1"/>
        <rFont val="Arial"/>
        <family val="2"/>
      </rPr>
      <t>loyalty program</t>
    </r>
    <r>
      <rPr>
        <sz val="11"/>
        <color theme="1"/>
        <rFont val="Calibri"/>
        <family val="2"/>
        <scheme val="minor"/>
      </rPr>
      <t xml:space="preserve">, that frequency typically jumps to </t>
    </r>
    <r>
      <rPr>
        <sz val="10"/>
        <color theme="1"/>
        <rFont val="Arial"/>
        <family val="2"/>
      </rPr>
      <t>5 to 8 times per year</t>
    </r>
  </si>
  <si>
    <t>the Qof sell's In Y (QS)</t>
  </si>
  <si>
    <t>avCustomerpurchQ(avCpQ)</t>
  </si>
  <si>
    <t>QS/avCpQ</t>
  </si>
  <si>
    <t>avQofCustomers</t>
  </si>
  <si>
    <t>b</t>
  </si>
  <si>
    <r>
      <rPr>
        <sz val="14"/>
        <color theme="1"/>
        <rFont val="Calibri"/>
        <family val="2"/>
        <scheme val="minor"/>
      </rPr>
      <t>k</t>
    </r>
    <r>
      <rPr>
        <sz val="8"/>
        <color theme="1"/>
        <rFont val="Calibri"/>
        <family val="2"/>
        <scheme val="minor"/>
      </rPr>
      <t>imprtnt</t>
    </r>
  </si>
  <si>
    <t>Er&lt;0,1(10%)</t>
  </si>
  <si>
    <t>inflation</t>
  </si>
  <si>
    <t>prediction</t>
  </si>
  <si>
    <t>origine</t>
  </si>
  <si>
    <t>delta</t>
  </si>
  <si>
    <t>delta^2</t>
  </si>
  <si>
    <t>err^2</t>
  </si>
  <si>
    <t>t</t>
  </si>
  <si>
    <t>more than 1</t>
  </si>
  <si>
    <t>Temp of Customers(chain)</t>
  </si>
  <si>
    <t>the bust+% in 5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</si>
</sst>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0\ _₽_-;\-* #,##0.00\ _₽_-;_-* &quot;-&quot;??\ _₽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8" fontId="0" fillId="0" borderId="0" xfId="0" applyNumberFormat="1"/>
    <xf numFmtId="2" fontId="0" fillId="0" borderId="0" xfId="1" applyNumberFormat="1" applyFont="1"/>
    <xf numFmtId="0" fontId="0" fillId="4" borderId="0" xfId="0" applyFill="1"/>
    <xf numFmtId="43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50"/>
  <sheetViews>
    <sheetView tabSelected="1" topLeftCell="A16" zoomScale="70" zoomScaleNormal="70" workbookViewId="0">
      <selection activeCell="A42" sqref="A42:F50"/>
    </sheetView>
  </sheetViews>
  <sheetFormatPr defaultRowHeight="14.4" x14ac:dyDescent="0.3"/>
  <cols>
    <col min="1" max="1" width="14.44140625" customWidth="1"/>
    <col min="2" max="2" width="15.33203125" customWidth="1"/>
    <col min="3" max="3" width="12.6640625" bestFit="1" customWidth="1"/>
    <col min="4" max="4" width="17.88671875" customWidth="1"/>
    <col min="5" max="5" width="15.5546875" customWidth="1"/>
    <col min="6" max="6" width="17.109375" customWidth="1"/>
    <col min="7" max="7" width="17.77734375" customWidth="1"/>
    <col min="8" max="8" width="13.33203125" bestFit="1" customWidth="1"/>
    <col min="9" max="9" width="20.77734375" bestFit="1" customWidth="1"/>
    <col min="10" max="10" width="52.77734375" customWidth="1"/>
  </cols>
  <sheetData>
    <row r="11" spans="1:11" ht="26.4" customHeight="1" x14ac:dyDescent="0.3">
      <c r="A11" s="1" t="s">
        <v>0</v>
      </c>
      <c r="C11" s="1" t="s">
        <v>22</v>
      </c>
      <c r="D11" s="1" t="s">
        <v>11</v>
      </c>
      <c r="E11" s="1" t="s">
        <v>7</v>
      </c>
      <c r="F11" s="1" t="s">
        <v>5</v>
      </c>
      <c r="G11" s="1" t="s">
        <v>6</v>
      </c>
      <c r="H11" s="1" t="s">
        <v>22</v>
      </c>
      <c r="I11" t="s">
        <v>16</v>
      </c>
      <c r="J11" s="16" t="s">
        <v>1</v>
      </c>
      <c r="K11" s="16"/>
    </row>
    <row r="12" spans="1:11" ht="26.4" customHeight="1" x14ac:dyDescent="0.3">
      <c r="A12" s="11">
        <v>1174137</v>
      </c>
      <c r="C12">
        <v>2023</v>
      </c>
      <c r="D12" s="11">
        <f>E12/$K$19</f>
        <v>110747.88314248569</v>
      </c>
      <c r="E12" s="11">
        <f>F12/G12</f>
        <v>506671.56537687208</v>
      </c>
      <c r="F12" s="11">
        <v>16962452</v>
      </c>
      <c r="G12" s="11">
        <f>$K$15*((I12/100)+1)</f>
        <v>33.478200000000001</v>
      </c>
      <c r="H12">
        <v>2023</v>
      </c>
      <c r="I12">
        <v>6.28</v>
      </c>
      <c r="J12" s="16" t="s">
        <v>2</v>
      </c>
      <c r="K12" s="16"/>
    </row>
    <row r="13" spans="1:11" ht="26.4" customHeight="1" x14ac:dyDescent="0.3">
      <c r="A13" s="11">
        <v>511782</v>
      </c>
      <c r="C13">
        <v>2022</v>
      </c>
      <c r="D13" s="11">
        <f>E13/$K$19</f>
        <v>88766.154794539645</v>
      </c>
      <c r="E13" s="11">
        <f>F13/G13</f>
        <v>406105.15818501892</v>
      </c>
      <c r="F13" s="11">
        <v>13967926</v>
      </c>
      <c r="G13" s="11">
        <f>$K$15*((I13/100)+1)</f>
        <v>34.394850000000005</v>
      </c>
      <c r="H13">
        <v>2022</v>
      </c>
      <c r="I13">
        <v>9.19</v>
      </c>
      <c r="J13" s="16" t="s">
        <v>3</v>
      </c>
      <c r="K13" s="16"/>
    </row>
    <row r="14" spans="1:11" x14ac:dyDescent="0.3">
      <c r="A14" s="11">
        <v>793307</v>
      </c>
      <c r="C14">
        <v>2021</v>
      </c>
      <c r="D14" s="11">
        <f>E14/$K$19</f>
        <v>72468.098152114151</v>
      </c>
      <c r="E14" s="11">
        <f>F14/G14</f>
        <v>331541.54904592223</v>
      </c>
      <c r="F14" s="11">
        <v>10746422</v>
      </c>
      <c r="G14" s="11">
        <f>$K$15*((I14/100)+1)</f>
        <v>32.413499999999999</v>
      </c>
      <c r="H14">
        <v>2021</v>
      </c>
      <c r="I14">
        <v>2.9</v>
      </c>
    </row>
    <row r="15" spans="1:11" x14ac:dyDescent="0.3">
      <c r="A15" s="11">
        <v>1238236</v>
      </c>
      <c r="C15">
        <v>2020</v>
      </c>
      <c r="D15" s="11">
        <f>E15/$K$19</f>
        <v>71028.935276128977</v>
      </c>
      <c r="E15" s="11">
        <f>F15/G15</f>
        <v>324957.37888829008</v>
      </c>
      <c r="F15" s="11">
        <v>10311905</v>
      </c>
      <c r="G15" s="11">
        <f>$K$15*((I15/100)+1)</f>
        <v>31.733100000000004</v>
      </c>
      <c r="H15">
        <v>2020</v>
      </c>
      <c r="I15">
        <v>0.74</v>
      </c>
      <c r="J15" s="3" t="s">
        <v>4</v>
      </c>
      <c r="K15">
        <f>(49+(22/2+39/2)+15)/3</f>
        <v>31.5</v>
      </c>
    </row>
    <row r="16" spans="1:11" ht="28.8" x14ac:dyDescent="0.3">
      <c r="B16" s="4" t="s">
        <v>15</v>
      </c>
      <c r="C16" s="1"/>
      <c r="D16" s="1"/>
      <c r="E16" s="5" t="s">
        <v>9</v>
      </c>
      <c r="F16" s="1" t="s">
        <v>12</v>
      </c>
    </row>
    <row r="17" spans="1:11" ht="70.8" customHeight="1" x14ac:dyDescent="0.3">
      <c r="J17" s="17" t="s">
        <v>8</v>
      </c>
      <c r="K17" s="17"/>
    </row>
    <row r="18" spans="1:11" x14ac:dyDescent="0.3">
      <c r="B18" s="1" t="s">
        <v>11</v>
      </c>
      <c r="C18" t="s">
        <v>22</v>
      </c>
      <c r="D18" s="6" t="s">
        <v>13</v>
      </c>
      <c r="E18" s="9" t="s">
        <v>5</v>
      </c>
      <c r="F18" s="9" t="s">
        <v>7</v>
      </c>
      <c r="G18" s="9" t="s">
        <v>11</v>
      </c>
      <c r="H18" s="8" t="s">
        <v>13</v>
      </c>
    </row>
    <row r="19" spans="1:11" x14ac:dyDescent="0.3">
      <c r="B19" s="6" cm="1">
        <f t="array" ref="B19:D23">LINEST(A12:A15,C12:D15,TRUE,TRUE)</f>
        <v>48.570186095302354</v>
      </c>
      <c r="C19">
        <v>-705289.17122500576</v>
      </c>
      <c r="D19" s="6">
        <v>1422506397.239109</v>
      </c>
      <c r="E19" s="7" cm="1">
        <f t="array" ref="E19:G23">LINEST(A12:A15,E12:F15,TRUE,TRUE)</f>
        <v>-0.9914045323111419</v>
      </c>
      <c r="F19" s="8">
        <v>36.62913801248996</v>
      </c>
      <c r="G19" s="8">
        <v>-555478.66307598352</v>
      </c>
      <c r="H19" s="8"/>
      <c r="J19" s="4" t="s">
        <v>10</v>
      </c>
      <c r="K19">
        <f>(2.65+6.5)/2</f>
        <v>4.5750000000000002</v>
      </c>
    </row>
    <row r="20" spans="1:11" x14ac:dyDescent="0.3">
      <c r="B20">
        <v>26.692710250466462</v>
      </c>
      <c r="C20" s="6">
        <v>382574.61109709041</v>
      </c>
      <c r="D20" s="6">
        <v>771211675.16190708</v>
      </c>
      <c r="E20" s="7">
        <v>0.33221907629623448</v>
      </c>
      <c r="F20" s="8">
        <v>12.189666880375814</v>
      </c>
      <c r="G20" s="8">
        <v>670279.33155860368</v>
      </c>
      <c r="H20" s="8"/>
    </row>
    <row r="21" spans="1:11" x14ac:dyDescent="0.3">
      <c r="B21">
        <v>0.77551137639669288</v>
      </c>
      <c r="C21" s="6">
        <v>279584.29946023558</v>
      </c>
      <c r="D21" s="6" t="e">
        <v>#N/A</v>
      </c>
      <c r="E21" s="7">
        <v>0.90031287082790723</v>
      </c>
      <c r="F21" s="8">
        <v>186309.56644716713</v>
      </c>
      <c r="G21" s="8" t="e">
        <v>#N/A</v>
      </c>
      <c r="H21" s="8"/>
    </row>
    <row r="22" spans="1:11" x14ac:dyDescent="0.3">
      <c r="B22">
        <v>1.7272843584428041</v>
      </c>
      <c r="C22" s="6">
        <v>1</v>
      </c>
      <c r="D22" s="6" t="e">
        <v>#N/A</v>
      </c>
      <c r="E22" s="7">
        <v>4.5156926390851897</v>
      </c>
      <c r="F22" s="8">
        <v>1</v>
      </c>
      <c r="G22" s="8" t="e">
        <v>#N/A</v>
      </c>
      <c r="H22" s="8"/>
    </row>
    <row r="23" spans="1:11" x14ac:dyDescent="0.3">
      <c r="B23">
        <v>270034587372.32932</v>
      </c>
      <c r="C23" s="6">
        <v>78167380504.670685</v>
      </c>
      <c r="D23" s="6" t="e">
        <v>#N/A</v>
      </c>
      <c r="E23" s="7">
        <v>313490713327.26862</v>
      </c>
      <c r="F23" s="8">
        <v>34711254549.731384</v>
      </c>
      <c r="G23" s="8" t="e">
        <v>#N/A</v>
      </c>
      <c r="H23" s="8"/>
    </row>
    <row r="25" spans="1:11" ht="18" x14ac:dyDescent="0.35">
      <c r="A25" t="s">
        <v>14</v>
      </c>
      <c r="B25">
        <f>A19/B22</f>
        <v>0</v>
      </c>
      <c r="C25">
        <f>B19/C22</f>
        <v>48.570186095302354</v>
      </c>
    </row>
    <row r="26" spans="1:11" x14ac:dyDescent="0.3">
      <c r="C26" t="s">
        <v>23</v>
      </c>
    </row>
    <row r="27" spans="1:11" x14ac:dyDescent="0.3">
      <c r="B27" s="10" t="s">
        <v>17</v>
      </c>
      <c r="C27" s="10"/>
      <c r="D27" s="10"/>
      <c r="E27" s="10"/>
      <c r="F27" s="10"/>
      <c r="G27" s="10"/>
      <c r="H27" s="10"/>
    </row>
    <row r="28" spans="1:11" x14ac:dyDescent="0.3">
      <c r="A28">
        <v>2026</v>
      </c>
      <c r="B28">
        <f>A28*$C$19+$D$19+C28*$B$19</f>
        <v>2882944.6633505169</v>
      </c>
      <c r="C28">
        <f>C29*1.22</f>
        <v>191319.18308630685</v>
      </c>
      <c r="D28">
        <v>1.22</v>
      </c>
      <c r="E28">
        <f>(B28/B29)*100</f>
        <v>150.73797649840347</v>
      </c>
      <c r="F28" s="14">
        <f t="shared" ref="F28:F29" si="0">E28-100</f>
        <v>50.737976498403469</v>
      </c>
    </row>
    <row r="29" spans="1:11" x14ac:dyDescent="0.3">
      <c r="A29">
        <v>2025</v>
      </c>
      <c r="B29">
        <f t="shared" ref="B28:B33" si="1">A29*$C$19+$D$19+C29*$B$19</f>
        <v>1912553.6446225625</v>
      </c>
      <c r="C29">
        <f>C30*1.2</f>
        <v>156819.00252975972</v>
      </c>
      <c r="D29">
        <v>1.2</v>
      </c>
      <c r="E29">
        <f>(B29/B30)*100</f>
        <v>141.83999451274499</v>
      </c>
      <c r="F29" s="14">
        <f t="shared" si="0"/>
        <v>41.839994512744994</v>
      </c>
    </row>
    <row r="30" spans="1:11" x14ac:dyDescent="0.3">
      <c r="A30">
        <v>2024</v>
      </c>
      <c r="B30">
        <f t="shared" si="1"/>
        <v>1348388.1264890423</v>
      </c>
      <c r="C30">
        <f>C31*1.18</f>
        <v>130682.50210813311</v>
      </c>
      <c r="D30">
        <v>1.18</v>
      </c>
      <c r="E30">
        <f>(B30/B31)*100</f>
        <v>124.22397980888394</v>
      </c>
      <c r="F30" s="14">
        <f>E30-100</f>
        <v>24.223979808883939</v>
      </c>
      <c r="G30" s="1" t="s">
        <v>18</v>
      </c>
      <c r="H30" s="1" t="s">
        <v>19</v>
      </c>
      <c r="I30" t="s">
        <v>20</v>
      </c>
    </row>
    <row r="31" spans="1:11" ht="28.8" x14ac:dyDescent="0.3">
      <c r="A31">
        <v>2023</v>
      </c>
      <c r="B31">
        <f t="shared" si="1"/>
        <v>1085449.1448136745</v>
      </c>
      <c r="C31">
        <f>D12</f>
        <v>110747.88314248569</v>
      </c>
      <c r="D31" s="2" t="s">
        <v>24</v>
      </c>
      <c r="G31" s="11">
        <v>1174137</v>
      </c>
      <c r="H31" s="11">
        <f>G31-B31</f>
        <v>88687.855186325498</v>
      </c>
      <c r="I31" s="12">
        <f>H31^2</f>
        <v>7865535657.550643</v>
      </c>
    </row>
    <row r="32" spans="1:11" x14ac:dyDescent="0.3">
      <c r="A32">
        <v>2022</v>
      </c>
      <c r="B32">
        <f t="shared" si="1"/>
        <v>723081.679482623</v>
      </c>
      <c r="C32">
        <f>D13</f>
        <v>88766.154794539645</v>
      </c>
      <c r="G32" s="11">
        <v>511782</v>
      </c>
      <c r="H32" s="15">
        <f>G32-B32</f>
        <v>-211299.679482623</v>
      </c>
      <c r="I32" s="12">
        <f t="shared" ref="I32:I34" si="2">H32^2</f>
        <v>44647554549.459213</v>
      </c>
    </row>
    <row r="33" spans="1:9" x14ac:dyDescent="0.3">
      <c r="A33">
        <v>2021</v>
      </c>
      <c r="B33">
        <f t="shared" si="1"/>
        <v>636771.20659330906</v>
      </c>
      <c r="C33">
        <f>D14</f>
        <v>72468.098152114151</v>
      </c>
      <c r="G33" s="11">
        <v>793307</v>
      </c>
      <c r="H33" s="11">
        <f>G33-B33</f>
        <v>156535.79340669094</v>
      </c>
      <c r="I33" s="12">
        <f t="shared" si="2"/>
        <v>24503454617.462227</v>
      </c>
    </row>
    <row r="34" spans="1:9" x14ac:dyDescent="0.3">
      <c r="A34">
        <v>2020</v>
      </c>
      <c r="B34">
        <f>A34*$C$19+$D$19+C34*$B$19</f>
        <v>1272159.9691100912</v>
      </c>
      <c r="C34">
        <f>D15</f>
        <v>71028.935276128977</v>
      </c>
      <c r="G34" s="11">
        <v>1238236</v>
      </c>
      <c r="H34" s="11">
        <f>G34-B34</f>
        <v>-33923.969110091217</v>
      </c>
      <c r="I34" s="12">
        <f t="shared" si="2"/>
        <v>1150835680.1824231</v>
      </c>
    </row>
    <row r="36" spans="1:9" x14ac:dyDescent="0.3">
      <c r="B36" s="12"/>
      <c r="F36" s="13"/>
      <c r="H36" t="s">
        <v>21</v>
      </c>
      <c r="I36" s="12" cm="1">
        <f t="array" ref="I36">(SUM(I31:I34/4)^0.5)</f>
        <v>139792.14973010332</v>
      </c>
    </row>
    <row r="42" spans="1:9" x14ac:dyDescent="0.3">
      <c r="A42">
        <v>2028</v>
      </c>
      <c r="B42">
        <f>A42*$C$19+$D$19+C42*$B$19</f>
        <v>6698416.7635010257</v>
      </c>
      <c r="C42">
        <f>C43*D42</f>
        <v>298917.09165404586</v>
      </c>
      <c r="D42">
        <v>1.26</v>
      </c>
      <c r="E42">
        <f>(B42/B43)*100</f>
        <v>151.96619332614696</v>
      </c>
      <c r="F42" s="14">
        <f>E42-100</f>
        <v>51.966193326146964</v>
      </c>
    </row>
    <row r="43" spans="1:9" x14ac:dyDescent="0.3">
      <c r="A43">
        <v>2027</v>
      </c>
      <c r="B43">
        <f t="shared" ref="B42:B43" si="3">A43*$C$19+$D$19+C43*$B$19</f>
        <v>4407833.490390202</v>
      </c>
      <c r="C43">
        <f t="shared" ref="C42:C45" si="4">C44*D43</f>
        <v>237235.7870270205</v>
      </c>
      <c r="D43">
        <v>1.24</v>
      </c>
      <c r="E43">
        <f>(B43/B44)*100</f>
        <v>152.89344767608134</v>
      </c>
      <c r="F43" s="14">
        <f>E43-100</f>
        <v>52.893447676081337</v>
      </c>
    </row>
    <row r="44" spans="1:9" x14ac:dyDescent="0.3">
      <c r="A44">
        <v>2026</v>
      </c>
      <c r="B44">
        <f>A44*$C$19+$D$19+C44*$B$19</f>
        <v>2882944.6633505169</v>
      </c>
      <c r="C44">
        <f t="shared" si="4"/>
        <v>191319.18308630685</v>
      </c>
      <c r="D44">
        <v>1.22</v>
      </c>
      <c r="E44">
        <f>(B44/B45)*100</f>
        <v>150.73797649840347</v>
      </c>
      <c r="F44" s="14">
        <f t="shared" ref="F42:F45" si="5">E44-100</f>
        <v>50.737976498403469</v>
      </c>
    </row>
    <row r="45" spans="1:9" x14ac:dyDescent="0.3">
      <c r="A45">
        <v>2025</v>
      </c>
      <c r="B45">
        <f t="shared" ref="B44:B49" si="6">A45*$C$19+$D$19+C45*$B$19</f>
        <v>1912553.6446225625</v>
      </c>
      <c r="C45">
        <f t="shared" si="4"/>
        <v>156819.00252975972</v>
      </c>
      <c r="D45">
        <v>1.2</v>
      </c>
      <c r="E45">
        <f>(B45/B46)*100</f>
        <v>141.83999451274499</v>
      </c>
      <c r="F45" s="14">
        <f t="shared" si="5"/>
        <v>41.839994512744994</v>
      </c>
    </row>
    <row r="46" spans="1:9" x14ac:dyDescent="0.3">
      <c r="A46">
        <v>2024</v>
      </c>
      <c r="B46">
        <f>A46*$C$19+$D$19+C46*$B$19</f>
        <v>1348388.1264890423</v>
      </c>
      <c r="C46">
        <f>C47*D46</f>
        <v>130682.50210813311</v>
      </c>
      <c r="D46">
        <v>1.18</v>
      </c>
      <c r="E46">
        <f>(B46/B47)*100</f>
        <v>124.22397980888394</v>
      </c>
      <c r="F46" s="14">
        <f>E46-100</f>
        <v>24.223979808883939</v>
      </c>
    </row>
    <row r="47" spans="1:9" ht="28.8" x14ac:dyDescent="0.3">
      <c r="A47">
        <v>2023</v>
      </c>
      <c r="B47">
        <f t="shared" si="6"/>
        <v>1085449.1448136745</v>
      </c>
      <c r="C47">
        <v>110747.88314248569</v>
      </c>
      <c r="D47" s="2" t="s">
        <v>24</v>
      </c>
    </row>
    <row r="48" spans="1:9" x14ac:dyDescent="0.3">
      <c r="A48">
        <v>2022</v>
      </c>
      <c r="B48">
        <f t="shared" si="6"/>
        <v>723081.679482623</v>
      </c>
      <c r="C48">
        <v>88766.154794539645</v>
      </c>
    </row>
    <row r="49" spans="1:6" x14ac:dyDescent="0.3">
      <c r="A49">
        <v>2021</v>
      </c>
      <c r="B49">
        <f t="shared" si="6"/>
        <v>636771.20659330906</v>
      </c>
      <c r="C49">
        <v>72468.098152114151</v>
      </c>
    </row>
    <row r="50" spans="1:6" x14ac:dyDescent="0.3">
      <c r="A50">
        <v>2020</v>
      </c>
      <c r="B50">
        <f>A50*$C$19+$D$19+C50*$B$19</f>
        <v>1272159.9691100912</v>
      </c>
      <c r="C50">
        <v>71028.935276128977</v>
      </c>
      <c r="E50" t="s">
        <v>25</v>
      </c>
      <c r="F50" s="14">
        <f>((C42/C47)*100)-100</f>
        <v>169.90772479999998</v>
      </c>
    </row>
  </sheetData>
  <mergeCells count="5">
    <mergeCell ref="B27:H27"/>
    <mergeCell ref="J11:K11"/>
    <mergeCell ref="J12:K12"/>
    <mergeCell ref="J13:K13"/>
    <mergeCell ref="J17:K1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Feliks Khangeldyan</dc:creator>
  <cp:lastModifiedBy>Feliks Khangeldyan</cp:lastModifiedBy>
  <dcterms:created xsi:type="dcterms:W3CDTF">2015-06-05T18:19:34Z</dcterms:created>
  <dcterms:modified xsi:type="dcterms:W3CDTF">2026-06-21T23:02:55Z</dcterms:modified>
</cp:coreProperties>
</file>